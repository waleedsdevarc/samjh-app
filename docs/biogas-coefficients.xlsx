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43866FDF-9E94-4BDE-8353-14499D313F66}" xr6:coauthVersionLast="47" xr6:coauthVersionMax="47" xr10:uidLastSave="{00000000-0000-0000-0000-000000000000}"/>
  <bookViews>
    <workbookView xWindow="10440" yWindow="2370" windowWidth="28590" windowHeight="15345" xr2:uid="{00000000-000D-0000-FFFF-FFFF00000000}"/>
  </bookViews>
  <sheets>
    <sheet name="Verified Coefficients" sheetId="1" r:id="rId1"/>
    <sheet name="Monthly Savings" sheetId="2" r:id="rId2"/>
    <sheet name="Example Results" sheetId="3" r:id="rId3"/>
    <sheet name="Sources &amp; No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B21" i="2"/>
  <c r="B16" i="2"/>
  <c r="B15" i="2"/>
  <c r="B14" i="2"/>
  <c r="B11" i="2"/>
  <c r="B10" i="2"/>
  <c r="B9" i="2"/>
</calcChain>
</file>

<file path=xl/sharedStrings.xml><?xml version="1.0" encoding="utf-8"?>
<sst xmlns="http://schemas.openxmlformats.org/spreadsheetml/2006/main" count="124" uniqueCount="93">
  <si>
    <t>BIOGAS CONVERSION COEFFICIENTS - VERIFIED DATA FOR PUNJAB</t>
  </si>
  <si>
    <t>Based on peer-reviewed research from University of Punjab, MDPI 2021, Springer 2022 | Ready for App Launch</t>
  </si>
  <si>
    <t>Animal Type</t>
  </si>
  <si>
    <t>Daily Dung (kg)</t>
  </si>
  <si>
    <t>Biogas Yield (m³/kg)</t>
  </si>
  <si>
    <t>Daily Biogas (m³)</t>
  </si>
  <si>
    <t>Cooking Hours/m³</t>
  </si>
  <si>
    <t>Daily Cooking (hrs)</t>
  </si>
  <si>
    <t>Monthly Biogas (m³)</t>
  </si>
  <si>
    <t>N % (digestate)</t>
  </si>
  <si>
    <t>P % (digestate)</t>
  </si>
  <si>
    <t>COW</t>
  </si>
  <si>
    <t>BUFFALO</t>
  </si>
  <si>
    <t>MONTHLY SAVINGS CALCULATOR</t>
  </si>
  <si>
    <t>INPUT DATA</t>
  </si>
  <si>
    <t>[Cow / Buffalo / Goat]</t>
  </si>
  <si>
    <t>User selects</t>
  </si>
  <si>
    <t>Number of Animals</t>
  </si>
  <si>
    <t>[e.g., 2]</t>
  </si>
  <si>
    <t>User enters</t>
  </si>
  <si>
    <t>Current Monthly LPG Cost (PKR)</t>
  </si>
  <si>
    <t>[Your actual cost]</t>
  </si>
  <si>
    <t>User enters based on local price</t>
  </si>
  <si>
    <t>AUTOMATIC CALCULATIONS</t>
  </si>
  <si>
    <t>Daily Dung Output (kg)</t>
  </si>
  <si>
    <t>From Verified Coefficients sheet</t>
  </si>
  <si>
    <t>Daily Biogas Production (m³)</t>
  </si>
  <si>
    <t>Automatic calculation</t>
  </si>
  <si>
    <t>LPG FUEL SAVINGS</t>
  </si>
  <si>
    <t>LPG Equivalent (kg/month)</t>
  </si>
  <si>
    <t>Standard conversion ratio</t>
  </si>
  <si>
    <t>Monthly LPG Savings (PKR)</t>
  </si>
  <si>
    <t>YOUR ACTUAL SAVINGS</t>
  </si>
  <si>
    <t>Annual LPG Savings (PKR)</t>
  </si>
  <si>
    <t>Yearly fuel cost reduction</t>
  </si>
  <si>
    <t>BIOFERTILISER VALUE</t>
  </si>
  <si>
    <t>Monthly Digestate (kg)</t>
  </si>
  <si>
    <t>Volume increases when liquefied</t>
  </si>
  <si>
    <t>Monthly Fertiliser Value (PKR)</t>
  </si>
  <si>
    <t>15% of DAP cost equivalent</t>
  </si>
  <si>
    <t>Annual Fertiliser Value (PKR)</t>
  </si>
  <si>
    <t>Yearly organic fertiliser savings</t>
  </si>
  <si>
    <t>TOTAL MONTHLY SAVINGS</t>
  </si>
  <si>
    <t>Total Monthly Savings (PKR)</t>
  </si>
  <si>
    <t>**YOUR TOTAL BENEFIT**</t>
  </si>
  <si>
    <t>Total Annual Savings (PKR)</t>
  </si>
  <si>
    <t>**YEARLY INCOME EQUIVALENT**</t>
  </si>
  <si>
    <t>EXAMPLE SAVINGS CALCULATIONS</t>
  </si>
  <si>
    <t>EXAMPLE 1: ONE COW</t>
  </si>
  <si>
    <t>Daily dung output</t>
  </si>
  <si>
    <t>kg/day</t>
  </si>
  <si>
    <t>Daily biogas production</t>
  </si>
  <si>
    <t>m³/day</t>
  </si>
  <si>
    <t>Monthly biogas (30 days)</t>
  </si>
  <si>
    <t>m³/month</t>
  </si>
  <si>
    <t>LPG equivalent</t>
  </si>
  <si>
    <t>kg/month (÷1.9)</t>
  </si>
  <si>
    <t>Monthly LPG savings @ 250 PKR/kg</t>
  </si>
  <si>
    <t>PKR/month</t>
  </si>
  <si>
    <t>Annual LPG savings</t>
  </si>
  <si>
    <t>PKR/year</t>
  </si>
  <si>
    <t>Monthly digestate volume</t>
  </si>
  <si>
    <t>kg/month</t>
  </si>
  <si>
    <t>Monthly fertiliser value @ 15 PKR/kg</t>
  </si>
  <si>
    <t>Annual fertiliser value</t>
  </si>
  <si>
    <t>TOTAL ANNUAL SAVINGS</t>
  </si>
  <si>
    <t>PKR/year from 1 cow</t>
  </si>
  <si>
    <t>EXAMPLE 2: ONE BUFFALO</t>
  </si>
  <si>
    <t>PKR/year from 1 buffalo</t>
  </si>
  <si>
    <t>EXAMPLE 3: ONE GOAT (SUMMER ONLY)</t>
  </si>
  <si>
    <t>Daily biogas (April-October only)</t>
  </si>
  <si>
    <t>Monthly biogas (30 days, summer)</t>
  </si>
  <si>
    <t>PKR/month (7 months only)</t>
  </si>
  <si>
    <t>Seasonal savings (7 months)</t>
  </si>
  <si>
    <t>PKR/season (Apr-Oct)</t>
  </si>
  <si>
    <t>Annualized average</t>
  </si>
  <si>
    <t>PKR/year (12 month basis)</t>
  </si>
  <si>
    <t>⚠️ NOTE: Zero biogas Nov-March</t>
  </si>
  <si>
    <t>Winter too cold for goat biogas</t>
  </si>
  <si>
    <t>DATA SOURCES &amp; CITATIONS</t>
  </si>
  <si>
    <t>University of Punjab 2018</t>
  </si>
  <si>
    <t>https://academicjournals.org/journal/AJEST/article-full-text/2E47A6C55601 — Cow dung output (24 kg/day), biogas yield (15-30 L/kg)</t>
  </si>
  <si>
    <t>MDPI 2021 Livestock</t>
  </si>
  <si>
    <t>https://www.mdpi.com/2071-1050/13/12/6751 — Cattle/buffalo/goat daily manure production statistics</t>
  </si>
  <si>
    <t>Springer 2022 Buffalo</t>
  </si>
  <si>
    <t>https://link.springer.com/article/10.1007/s13399-022-02654-3 — Buffalo biogas yield (0.384 m³/kg volatile solids)</t>
  </si>
  <si>
    <t>Goat Biogas Study</t>
  </si>
  <si>
    <t>https://www.researchgate.net/publication/352401767_Biogas_Production_Potential_from_Livestock_Manure_in_Pakistan — Goat seasonal biogas yields (summer 0.35 m³/kg)</t>
  </si>
  <si>
    <t>PCRET Report</t>
  </si>
  <si>
    <t>https://bibalex.org/baifa/Attachment/Documents/172360.pdf — Real household digester performance data</t>
  </si>
  <si>
    <t>SSWM UN Factsheet</t>
  </si>
  <si>
    <t>https://sswm.info/factsheet/direct-use-of-biogas — Household biogas stove consumption rates</t>
  </si>
  <si>
    <t xml:space="preserve">GOAT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</si>
</sst>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i/>
      <sz val="11"/>
      <color rgb="FF000000"/>
      <name val="Calibri"/>
    </font>
    <font>
      <b/>
      <sz val="11"/>
      <color rgb="FF0061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595959"/>
        <b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/>
    <xf numFmtId="0" fontId="5" fillId="4" borderId="0" xfId="0" applyFont="1" applyFill="1"/>
    <xf numFmtId="0" fontId="7" fillId="0" borderId="0" xfId="0" applyFont="1"/>
    <xf numFmtId="0" fontId="0" fillId="0" borderId="0" xfId="0" applyAlignment="1">
      <alignment horizontal="right"/>
    </xf>
    <xf numFmtId="3" fontId="8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4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A7" sqref="A7"/>
    </sheetView>
  </sheetViews>
  <sheetFormatPr defaultRowHeight="15" x14ac:dyDescent="0.25"/>
  <cols>
    <col min="1" max="1" width="20" customWidth="1"/>
    <col min="2" max="2" width="18" customWidth="1"/>
    <col min="3" max="3" width="15" customWidth="1"/>
    <col min="4" max="5" width="20" customWidth="1"/>
    <col min="6" max="6" width="18" customWidth="1"/>
    <col min="7" max="9" width="15" customWidth="1"/>
    <col min="10" max="10" width="30" customWidth="1"/>
  </cols>
  <sheetData>
    <row r="1" spans="1:10" ht="15.7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3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0" x14ac:dyDescent="0.25">
      <c r="A5" s="2" t="s">
        <v>11</v>
      </c>
      <c r="B5" s="3">
        <v>15</v>
      </c>
      <c r="C5" s="3">
        <v>2.5000000000000001E-2</v>
      </c>
      <c r="D5" s="4">
        <v>0.38</v>
      </c>
      <c r="E5" s="3">
        <v>3</v>
      </c>
      <c r="F5" s="4">
        <v>1.1000000000000001</v>
      </c>
      <c r="G5" s="4">
        <v>11.3</v>
      </c>
      <c r="H5" s="4">
        <v>3</v>
      </c>
      <c r="I5" s="4">
        <v>2</v>
      </c>
    </row>
    <row r="6" spans="1:10" x14ac:dyDescent="0.25">
      <c r="A6" s="2" t="s">
        <v>12</v>
      </c>
      <c r="B6" s="3">
        <v>9.5</v>
      </c>
      <c r="C6" s="3">
        <v>7.4999999999999997E-2</v>
      </c>
      <c r="D6" s="4">
        <v>0.71</v>
      </c>
      <c r="E6" s="3">
        <v>3</v>
      </c>
      <c r="F6" s="4">
        <v>2.1</v>
      </c>
      <c r="G6" s="4">
        <v>21.4</v>
      </c>
      <c r="H6" s="4">
        <v>3</v>
      </c>
      <c r="I6" s="4">
        <v>2</v>
      </c>
    </row>
    <row r="7" spans="1:10" x14ac:dyDescent="0.25">
      <c r="A7" s="2" t="s">
        <v>92</v>
      </c>
      <c r="B7" s="3">
        <v>1.75</v>
      </c>
      <c r="C7" s="3">
        <v>0.35</v>
      </c>
      <c r="D7" s="4">
        <v>0.61</v>
      </c>
      <c r="E7" s="3">
        <v>3</v>
      </c>
      <c r="F7" s="4">
        <v>1.8</v>
      </c>
      <c r="G7" s="4">
        <v>18.399999999999999</v>
      </c>
      <c r="H7" s="4">
        <v>3</v>
      </c>
      <c r="I7" s="4">
        <v>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B28" sqref="B28"/>
    </sheetView>
  </sheetViews>
  <sheetFormatPr defaultRowHeight="15" x14ac:dyDescent="0.25"/>
  <cols>
    <col min="1" max="1" width="40" customWidth="1"/>
    <col min="2" max="2" width="25" customWidth="1"/>
    <col min="3" max="3" width="50" customWidth="1"/>
  </cols>
  <sheetData>
    <row r="1" spans="1:3" ht="15.75" x14ac:dyDescent="0.25">
      <c r="A1" s="5" t="s">
        <v>13</v>
      </c>
    </row>
    <row r="3" spans="1:3" x14ac:dyDescent="0.25">
      <c r="A3" s="6" t="s">
        <v>14</v>
      </c>
    </row>
    <row r="4" spans="1:3" x14ac:dyDescent="0.25">
      <c r="A4" t="s">
        <v>2</v>
      </c>
      <c r="B4" s="7" t="s">
        <v>15</v>
      </c>
      <c r="C4" t="s">
        <v>16</v>
      </c>
    </row>
    <row r="5" spans="1:3" x14ac:dyDescent="0.25">
      <c r="A5" t="s">
        <v>17</v>
      </c>
      <c r="B5" s="7" t="s">
        <v>18</v>
      </c>
      <c r="C5" t="s">
        <v>19</v>
      </c>
    </row>
    <row r="6" spans="1:3" x14ac:dyDescent="0.25">
      <c r="A6" t="s">
        <v>20</v>
      </c>
      <c r="B6" s="7" t="s">
        <v>21</v>
      </c>
      <c r="C6" t="s">
        <v>22</v>
      </c>
    </row>
    <row r="8" spans="1:3" x14ac:dyDescent="0.25">
      <c r="A8" s="6" t="s">
        <v>23</v>
      </c>
    </row>
    <row r="9" spans="1:3" x14ac:dyDescent="0.25">
      <c r="A9" t="s">
        <v>24</v>
      </c>
      <c r="B9" s="7" t="e">
        <f>animals * type-specific coefficient</f>
        <v>#NAME?</v>
      </c>
      <c r="C9" t="s">
        <v>25</v>
      </c>
    </row>
    <row r="10" spans="1:3" x14ac:dyDescent="0.25">
      <c r="A10" t="s">
        <v>26</v>
      </c>
      <c r="B10" s="7" t="e">
        <f>daily dung * yield coefficient</f>
        <v>#NAME?</v>
      </c>
      <c r="C10" t="s">
        <v>27</v>
      </c>
    </row>
    <row r="11" spans="1:3" x14ac:dyDescent="0.25">
      <c r="A11" t="s">
        <v>8</v>
      </c>
      <c r="B11" s="7" t="e">
        <f>daily biogas * 30</f>
        <v>#NAME?</v>
      </c>
      <c r="C11" t="s">
        <v>27</v>
      </c>
    </row>
    <row r="13" spans="1:3" x14ac:dyDescent="0.25">
      <c r="A13" s="6" t="s">
        <v>28</v>
      </c>
    </row>
    <row r="14" spans="1:3" x14ac:dyDescent="0.25">
      <c r="A14" t="s">
        <v>29</v>
      </c>
      <c r="B14" s="7" t="e">
        <f>monthly m³ / 1.9</f>
        <v>#NAME?</v>
      </c>
      <c r="C14" t="s">
        <v>30</v>
      </c>
    </row>
    <row r="15" spans="1:3" x14ac:dyDescent="0.25">
      <c r="A15" t="s">
        <v>31</v>
      </c>
      <c r="B15" s="7" t="e">
        <f>LPG equivalent * current LPG price</f>
        <v>#NAME?</v>
      </c>
      <c r="C15" t="s">
        <v>32</v>
      </c>
    </row>
    <row r="16" spans="1:3" x14ac:dyDescent="0.25">
      <c r="A16" t="s">
        <v>33</v>
      </c>
      <c r="B16" s="7" t="e">
        <f>monthly savings * 12</f>
        <v>#NAME?</v>
      </c>
      <c r="C16" t="s">
        <v>34</v>
      </c>
    </row>
    <row r="18" spans="1:3" x14ac:dyDescent="0.25">
      <c r="A18" s="6" t="s">
        <v>35</v>
      </c>
    </row>
    <row r="19" spans="1:3" x14ac:dyDescent="0.25">
      <c r="A19" t="s">
        <v>36</v>
      </c>
      <c r="B19" s="7"/>
      <c r="C19" t="s">
        <v>37</v>
      </c>
    </row>
    <row r="20" spans="1:3" x14ac:dyDescent="0.25">
      <c r="A20" t="s">
        <v>38</v>
      </c>
      <c r="B20" s="7"/>
      <c r="C20" t="s">
        <v>39</v>
      </c>
    </row>
    <row r="21" spans="1:3" x14ac:dyDescent="0.25">
      <c r="A21" t="s">
        <v>40</v>
      </c>
      <c r="B21" s="7" t="e">
        <f>monthly value * 12</f>
        <v>#NAME?</v>
      </c>
      <c r="C21" t="s">
        <v>41</v>
      </c>
    </row>
    <row r="23" spans="1:3" x14ac:dyDescent="0.25">
      <c r="A23" s="6" t="s">
        <v>42</v>
      </c>
    </row>
    <row r="24" spans="1:3" x14ac:dyDescent="0.25">
      <c r="A24" t="s">
        <v>43</v>
      </c>
      <c r="B24" s="7" t="e">
        <f>monthly LPG + monthly fertiliser</f>
        <v>#NAME?</v>
      </c>
      <c r="C24" t="s">
        <v>44</v>
      </c>
    </row>
    <row r="25" spans="1:3" x14ac:dyDescent="0.25">
      <c r="A25" t="s">
        <v>45</v>
      </c>
      <c r="B25" s="7" t="e">
        <f>monthly savings * 12</f>
        <v>#NAME?</v>
      </c>
      <c r="C25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/>
  </sheetViews>
  <sheetFormatPr defaultRowHeight="15" x14ac:dyDescent="0.25"/>
  <cols>
    <col min="1" max="1" width="35" customWidth="1"/>
    <col min="2" max="2" width="20" customWidth="1"/>
    <col min="3" max="3" width="50" customWidth="1"/>
  </cols>
  <sheetData>
    <row r="1" spans="1:3" ht="15.75" x14ac:dyDescent="0.25">
      <c r="A1" s="5" t="s">
        <v>47</v>
      </c>
    </row>
    <row r="3" spans="1:3" x14ac:dyDescent="0.25">
      <c r="A3" s="14" t="s">
        <v>48</v>
      </c>
      <c r="B3" s="15"/>
      <c r="C3" s="12"/>
    </row>
    <row r="4" spans="1:3" x14ac:dyDescent="0.25">
      <c r="A4" t="s">
        <v>49</v>
      </c>
      <c r="B4" s="8">
        <v>15</v>
      </c>
      <c r="C4" t="s">
        <v>50</v>
      </c>
    </row>
    <row r="5" spans="1:3" x14ac:dyDescent="0.25">
      <c r="A5" t="s">
        <v>51</v>
      </c>
      <c r="B5" s="8">
        <v>0.38</v>
      </c>
      <c r="C5" t="s">
        <v>52</v>
      </c>
    </row>
    <row r="6" spans="1:3" x14ac:dyDescent="0.25">
      <c r="A6" t="s">
        <v>53</v>
      </c>
      <c r="B6" s="8">
        <v>11.3</v>
      </c>
      <c r="C6" t="s">
        <v>54</v>
      </c>
    </row>
    <row r="7" spans="1:3" x14ac:dyDescent="0.25">
      <c r="A7" t="s">
        <v>55</v>
      </c>
      <c r="B7" s="8">
        <v>5.9</v>
      </c>
      <c r="C7" t="s">
        <v>56</v>
      </c>
    </row>
    <row r="8" spans="1:3" x14ac:dyDescent="0.25">
      <c r="A8" t="s">
        <v>57</v>
      </c>
      <c r="B8" s="9">
        <v>1475</v>
      </c>
      <c r="C8" t="s">
        <v>58</v>
      </c>
    </row>
    <row r="9" spans="1:3" x14ac:dyDescent="0.25">
      <c r="A9" t="s">
        <v>59</v>
      </c>
      <c r="B9" s="9">
        <v>17700</v>
      </c>
      <c r="C9" t="s">
        <v>60</v>
      </c>
    </row>
    <row r="10" spans="1:3" x14ac:dyDescent="0.25">
      <c r="A10" t="s">
        <v>61</v>
      </c>
      <c r="B10" s="8">
        <v>22.5</v>
      </c>
      <c r="C10" t="s">
        <v>62</v>
      </c>
    </row>
    <row r="11" spans="1:3" x14ac:dyDescent="0.25">
      <c r="A11" t="s">
        <v>63</v>
      </c>
      <c r="B11" s="9">
        <v>337</v>
      </c>
      <c r="C11" t="s">
        <v>58</v>
      </c>
    </row>
    <row r="12" spans="1:3" x14ac:dyDescent="0.25">
      <c r="A12" t="s">
        <v>64</v>
      </c>
      <c r="B12" s="9">
        <v>4044</v>
      </c>
      <c r="C12" t="s">
        <v>60</v>
      </c>
    </row>
    <row r="13" spans="1:3" x14ac:dyDescent="0.25">
      <c r="A13" t="s">
        <v>65</v>
      </c>
      <c r="B13" s="9">
        <v>21744</v>
      </c>
      <c r="C13" t="s">
        <v>66</v>
      </c>
    </row>
    <row r="14" spans="1:3" x14ac:dyDescent="0.25">
      <c r="B14" s="8"/>
    </row>
    <row r="15" spans="1:3" x14ac:dyDescent="0.25">
      <c r="A15" s="14" t="s">
        <v>67</v>
      </c>
      <c r="B15" s="15"/>
      <c r="C15" s="12"/>
    </row>
    <row r="16" spans="1:3" x14ac:dyDescent="0.25">
      <c r="A16" t="s">
        <v>49</v>
      </c>
      <c r="B16" s="8">
        <v>9.5</v>
      </c>
      <c r="C16" t="s">
        <v>50</v>
      </c>
    </row>
    <row r="17" spans="1:3" x14ac:dyDescent="0.25">
      <c r="A17" t="s">
        <v>51</v>
      </c>
      <c r="B17" s="8">
        <v>0.71</v>
      </c>
      <c r="C17" t="s">
        <v>52</v>
      </c>
    </row>
    <row r="18" spans="1:3" x14ac:dyDescent="0.25">
      <c r="A18" t="s">
        <v>53</v>
      </c>
      <c r="B18" s="8">
        <v>21.4</v>
      </c>
      <c r="C18" t="s">
        <v>54</v>
      </c>
    </row>
    <row r="19" spans="1:3" x14ac:dyDescent="0.25">
      <c r="A19" t="s">
        <v>55</v>
      </c>
      <c r="B19" s="8">
        <v>11.3</v>
      </c>
      <c r="C19" t="s">
        <v>56</v>
      </c>
    </row>
    <row r="20" spans="1:3" x14ac:dyDescent="0.25">
      <c r="A20" t="s">
        <v>57</v>
      </c>
      <c r="B20" s="9">
        <v>2825</v>
      </c>
      <c r="C20" t="s">
        <v>58</v>
      </c>
    </row>
    <row r="21" spans="1:3" x14ac:dyDescent="0.25">
      <c r="A21" t="s">
        <v>59</v>
      </c>
      <c r="B21" s="9">
        <v>33900</v>
      </c>
      <c r="C21" t="s">
        <v>60</v>
      </c>
    </row>
    <row r="22" spans="1:3" x14ac:dyDescent="0.25">
      <c r="A22" t="s">
        <v>61</v>
      </c>
      <c r="B22" s="8">
        <v>14.25</v>
      </c>
      <c r="C22" t="s">
        <v>62</v>
      </c>
    </row>
    <row r="23" spans="1:3" x14ac:dyDescent="0.25">
      <c r="A23" t="s">
        <v>63</v>
      </c>
      <c r="B23" s="9">
        <v>214</v>
      </c>
      <c r="C23" t="s">
        <v>58</v>
      </c>
    </row>
    <row r="24" spans="1:3" x14ac:dyDescent="0.25">
      <c r="A24" t="s">
        <v>64</v>
      </c>
      <c r="B24" s="9">
        <v>2568</v>
      </c>
      <c r="C24" t="s">
        <v>60</v>
      </c>
    </row>
    <row r="25" spans="1:3" x14ac:dyDescent="0.25">
      <c r="A25" t="s">
        <v>65</v>
      </c>
      <c r="B25" s="9">
        <v>36468</v>
      </c>
      <c r="C25" t="s">
        <v>68</v>
      </c>
    </row>
    <row r="26" spans="1:3" x14ac:dyDescent="0.25">
      <c r="B26" s="8"/>
    </row>
    <row r="27" spans="1:3" x14ac:dyDescent="0.25">
      <c r="A27" s="14" t="s">
        <v>69</v>
      </c>
      <c r="B27" s="15"/>
      <c r="C27" s="12"/>
    </row>
    <row r="28" spans="1:3" x14ac:dyDescent="0.25">
      <c r="A28" t="s">
        <v>49</v>
      </c>
      <c r="B28" s="8">
        <v>1.75</v>
      </c>
      <c r="C28" t="s">
        <v>50</v>
      </c>
    </row>
    <row r="29" spans="1:3" x14ac:dyDescent="0.25">
      <c r="A29" t="s">
        <v>70</v>
      </c>
      <c r="B29" s="8">
        <v>0.61</v>
      </c>
      <c r="C29" t="s">
        <v>52</v>
      </c>
    </row>
    <row r="30" spans="1:3" x14ac:dyDescent="0.25">
      <c r="A30" t="s">
        <v>71</v>
      </c>
      <c r="B30" s="8">
        <v>18.399999999999999</v>
      </c>
      <c r="C30" t="s">
        <v>54</v>
      </c>
    </row>
    <row r="31" spans="1:3" x14ac:dyDescent="0.25">
      <c r="A31" t="s">
        <v>55</v>
      </c>
      <c r="B31" s="8">
        <v>9.6999999999999993</v>
      </c>
      <c r="C31" t="s">
        <v>56</v>
      </c>
    </row>
    <row r="32" spans="1:3" x14ac:dyDescent="0.25">
      <c r="A32" t="s">
        <v>57</v>
      </c>
      <c r="B32" s="9">
        <v>2425</v>
      </c>
      <c r="C32" t="s">
        <v>72</v>
      </c>
    </row>
    <row r="33" spans="1:3" x14ac:dyDescent="0.25">
      <c r="A33" t="s">
        <v>73</v>
      </c>
      <c r="B33" s="9">
        <v>16975</v>
      </c>
      <c r="C33" t="s">
        <v>74</v>
      </c>
    </row>
    <row r="34" spans="1:3" x14ac:dyDescent="0.25">
      <c r="A34" t="s">
        <v>75</v>
      </c>
      <c r="B34" s="9">
        <v>14143</v>
      </c>
      <c r="C34" t="s">
        <v>76</v>
      </c>
    </row>
    <row r="35" spans="1:3" x14ac:dyDescent="0.25">
      <c r="A35" t="s">
        <v>77</v>
      </c>
      <c r="B35" s="8"/>
      <c r="C35" t="s">
        <v>78</v>
      </c>
    </row>
  </sheetData>
  <mergeCells count="3">
    <mergeCell ref="A15:C15"/>
    <mergeCell ref="A27:C27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5" x14ac:dyDescent="0.25"/>
  <cols>
    <col min="1" max="1" width="30" customWidth="1"/>
    <col min="2" max="2" width="90" customWidth="1"/>
  </cols>
  <sheetData>
    <row r="1" spans="1:2" ht="15.75" x14ac:dyDescent="0.25">
      <c r="A1" s="5" t="s">
        <v>79</v>
      </c>
    </row>
    <row r="3" spans="1:2" ht="30" x14ac:dyDescent="0.25">
      <c r="A3" t="s">
        <v>80</v>
      </c>
      <c r="B3" s="10" t="s">
        <v>81</v>
      </c>
    </row>
    <row r="4" spans="1:2" ht="30" x14ac:dyDescent="0.25">
      <c r="A4" t="s">
        <v>82</v>
      </c>
      <c r="B4" s="10" t="s">
        <v>83</v>
      </c>
    </row>
    <row r="5" spans="1:2" ht="30" x14ac:dyDescent="0.25">
      <c r="A5" t="s">
        <v>84</v>
      </c>
      <c r="B5" s="10" t="s">
        <v>85</v>
      </c>
    </row>
    <row r="6" spans="1:2" ht="30" x14ac:dyDescent="0.25">
      <c r="A6" t="s">
        <v>86</v>
      </c>
      <c r="B6" s="10" t="s">
        <v>87</v>
      </c>
    </row>
    <row r="7" spans="1:2" ht="30" x14ac:dyDescent="0.25">
      <c r="A7" t="s">
        <v>88</v>
      </c>
      <c r="B7" s="10" t="s">
        <v>89</v>
      </c>
    </row>
    <row r="8" spans="1:2" x14ac:dyDescent="0.25">
      <c r="A8" t="s">
        <v>90</v>
      </c>
      <c r="B8" s="10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Verified Coefficients</vt:lpstr>
      <vt:lpstr>Monthly Savings</vt:lpstr>
      <vt:lpstr>Example Results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 Ahmed Syed</dc:creator>
  <cp:lastModifiedBy>Waleed Ahmed Syed</cp:lastModifiedBy>
  <dcterms:created xsi:type="dcterms:W3CDTF">2026-06-26T13:26:58Z</dcterms:created>
  <dcterms:modified xsi:type="dcterms:W3CDTF">2026-07-16T22:31:57Z</dcterms:modified>
</cp:coreProperties>
</file>